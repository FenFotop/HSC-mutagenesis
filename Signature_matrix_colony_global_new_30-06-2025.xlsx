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fotopoulou/Desktop/DKFZ_scripts/to upload/"/>
    </mc:Choice>
  </mc:AlternateContent>
  <xr:revisionPtr revIDLastSave="0" documentId="13_ncr:1_{326D1A6C-5B82-7E4D-8F9F-505F212F65CE}" xr6:coauthVersionLast="47" xr6:coauthVersionMax="47" xr10:uidLastSave="{00000000-0000-0000-0000-000000000000}"/>
  <bookViews>
    <workbookView xWindow="0" yWindow="660" windowWidth="29400" windowHeight="17200" xr2:uid="{6911D048-D729-8548-858F-0ECD0C3E3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" l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3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</calcChain>
</file>

<file path=xl/sharedStrings.xml><?xml version="1.0" encoding="utf-8"?>
<sst xmlns="http://schemas.openxmlformats.org/spreadsheetml/2006/main" count="183" uniqueCount="85">
  <si>
    <t>mouse</t>
  </si>
  <si>
    <t>cell</t>
  </si>
  <si>
    <t>snvs_norm</t>
  </si>
  <si>
    <t>HSPC_contrib</t>
  </si>
  <si>
    <t>SBS1_contrib</t>
  </si>
  <si>
    <t>SBS5_contrib</t>
  </si>
  <si>
    <t>SBS18_contrib</t>
  </si>
  <si>
    <t>9A-1R</t>
  </si>
  <si>
    <t>h3</t>
  </si>
  <si>
    <t>g12</t>
  </si>
  <si>
    <t>f5</t>
  </si>
  <si>
    <t>g4</t>
  </si>
  <si>
    <t>9A-2L</t>
  </si>
  <si>
    <t>g3</t>
  </si>
  <si>
    <t>g8</t>
  </si>
  <si>
    <t>e7</t>
  </si>
  <si>
    <t>4A-2L</t>
  </si>
  <si>
    <t>f12</t>
  </si>
  <si>
    <t>e12-2</t>
  </si>
  <si>
    <t>d11</t>
  </si>
  <si>
    <t>4A-3RL</t>
  </si>
  <si>
    <t>f9</t>
  </si>
  <si>
    <t>f11</t>
  </si>
  <si>
    <t>d4</t>
  </si>
  <si>
    <t>d3</t>
  </si>
  <si>
    <t>4B-3RL</t>
  </si>
  <si>
    <t>c7</t>
  </si>
  <si>
    <t>c11</t>
  </si>
  <si>
    <t>9A-4RR</t>
  </si>
  <si>
    <t>e3</t>
  </si>
  <si>
    <t>e12</t>
  </si>
  <si>
    <t>f6</t>
  </si>
  <si>
    <t>HSPC_mutations</t>
  </si>
  <si>
    <t>SBS1_mutations</t>
  </si>
  <si>
    <t>SBS5_mutations</t>
  </si>
  <si>
    <t>SBS18_mutations</t>
  </si>
  <si>
    <t>group</t>
  </si>
  <si>
    <t>old</t>
  </si>
  <si>
    <t>young</t>
  </si>
  <si>
    <t>F2RRL</t>
  </si>
  <si>
    <t>pbs2</t>
  </si>
  <si>
    <t>pbs5</t>
  </si>
  <si>
    <t>pbs8</t>
  </si>
  <si>
    <t>pbs11</t>
  </si>
  <si>
    <t>pbs12</t>
  </si>
  <si>
    <t>pbs17</t>
  </si>
  <si>
    <t>apoptosisKO</t>
  </si>
  <si>
    <t>F7RRL</t>
  </si>
  <si>
    <t>pbs_b8</t>
  </si>
  <si>
    <t>pbs_c5</t>
  </si>
  <si>
    <t>pbs_g4</t>
  </si>
  <si>
    <t>F6R</t>
  </si>
  <si>
    <t>pbs_a9</t>
  </si>
  <si>
    <t>pbs_h5</t>
  </si>
  <si>
    <t>F6RL</t>
  </si>
  <si>
    <t>pbs_a4</t>
  </si>
  <si>
    <t>pbs_d6</t>
  </si>
  <si>
    <t>F6LL</t>
  </si>
  <si>
    <t>pbs_g11</t>
  </si>
  <si>
    <t>LRC_old1</t>
  </si>
  <si>
    <t>b3_neg</t>
  </si>
  <si>
    <t>d6_neg</t>
  </si>
  <si>
    <t>e8_neg</t>
  </si>
  <si>
    <t>active</t>
  </si>
  <si>
    <t>LRC_old2</t>
  </si>
  <si>
    <t>g11_neg</t>
  </si>
  <si>
    <t>h3_neg</t>
  </si>
  <si>
    <t>LRC_old3</t>
  </si>
  <si>
    <t>a5_neg</t>
  </si>
  <si>
    <t>b7_neg</t>
  </si>
  <si>
    <t>b8_neg</t>
  </si>
  <si>
    <t>b10_neg</t>
  </si>
  <si>
    <t>c3_pos</t>
  </si>
  <si>
    <t>dormant</t>
  </si>
  <si>
    <t>c5_pos</t>
  </si>
  <si>
    <t>c7_pos</t>
  </si>
  <si>
    <t>d3_pos</t>
  </si>
  <si>
    <t>a6_pos</t>
  </si>
  <si>
    <t>b7_pos</t>
  </si>
  <si>
    <t>c2_pos</t>
  </si>
  <si>
    <t>c4_pos</t>
  </si>
  <si>
    <t>g4_pos</t>
  </si>
  <si>
    <t>g6_pos</t>
  </si>
  <si>
    <t>g7_pos</t>
  </si>
  <si>
    <t>f2_pos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</si>
</sst>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D26F-7FC3-8249-BEFD-0C4C3F882A1C}">
  <dimension ref="A1:L58"/>
  <sheetViews>
    <sheetView tabSelected="1" topLeftCell="A19" zoomScaleNormal="90" workbookViewId="0">
      <selection activeCell="P15" sqref="P15"/>
    </sheetView>
  </sheetViews>
  <sheetFormatPr baseColWidth="10" defaultRowHeight="16" x14ac:dyDescent="0.2"/>
  <cols>
    <col min="3" max="3" width="17.1640625" customWidth="1"/>
    <col min="4" max="4" width="13" customWidth="1"/>
    <col min="5" max="5" width="13.33203125" customWidth="1"/>
    <col min="6" max="6" width="13" customWidth="1"/>
    <col min="7" max="7" width="12.5" customWidth="1"/>
    <col min="8" max="8" width="13.33203125" customWidth="1"/>
    <col min="9" max="9" width="15.83203125" customWidth="1"/>
    <col min="10" max="10" width="18.5" customWidth="1"/>
    <col min="11" max="11" width="15.6640625" customWidth="1"/>
    <col min="12" max="12" width="20" customWidth="1"/>
  </cols>
  <sheetData>
    <row r="1" spans="1:12" ht="17" x14ac:dyDescent="0.2">
      <c r="A1" s="1" t="s">
        <v>0</v>
      </c>
      <c r="B1" s="1" t="s">
        <v>1</v>
      </c>
      <c r="C1" s="1" t="s">
        <v>36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 x14ac:dyDescent="0.2">
      <c r="A2" s="2" t="s">
        <v>7</v>
      </c>
      <c r="B2" s="2" t="s">
        <v>8</v>
      </c>
      <c r="C2" s="2" t="s">
        <v>38</v>
      </c>
      <c r="D2" s="3">
        <v>82.646450000000002</v>
      </c>
      <c r="E2" s="2">
        <v>0.32</v>
      </c>
      <c r="F2" s="2">
        <v>0.14000000000000001</v>
      </c>
      <c r="G2" s="2">
        <v>0.43</v>
      </c>
      <c r="H2" s="2">
        <v>0.11</v>
      </c>
      <c r="I2" s="2">
        <f>E2*D2</f>
        <v>26.446864000000001</v>
      </c>
      <c r="J2" s="2">
        <f>F2*D2</f>
        <v>11.570503</v>
      </c>
      <c r="K2" s="2">
        <f>G2*D2</f>
        <v>35.5379735</v>
      </c>
      <c r="L2" s="2">
        <f>H2*D2</f>
        <v>9.0911095</v>
      </c>
    </row>
    <row r="3" spans="1:12" x14ac:dyDescent="0.2">
      <c r="A3" s="2" t="s">
        <v>7</v>
      </c>
      <c r="B3" s="2" t="s">
        <v>9</v>
      </c>
      <c r="C3" s="2" t="s">
        <v>38</v>
      </c>
      <c r="D3" s="2">
        <v>92.07</v>
      </c>
      <c r="E3" s="2">
        <v>0.32</v>
      </c>
      <c r="F3" s="2">
        <v>0.14000000000000001</v>
      </c>
      <c r="G3" s="2">
        <v>0.43</v>
      </c>
      <c r="H3" s="2">
        <v>0.11</v>
      </c>
      <c r="I3" s="2">
        <f t="shared" ref="I3:I37" si="0">E3*D3</f>
        <v>29.462399999999999</v>
      </c>
      <c r="J3" s="2">
        <f t="shared" ref="J3:J37" si="1">F3*D3</f>
        <v>12.889800000000001</v>
      </c>
      <c r="K3" s="2">
        <f t="shared" ref="K3:K37" si="2">G3*D3</f>
        <v>39.5901</v>
      </c>
      <c r="L3" s="2">
        <f t="shared" ref="L3:L37" si="3">H3*D3</f>
        <v>10.127699999999999</v>
      </c>
    </row>
    <row r="4" spans="1:12" x14ac:dyDescent="0.2">
      <c r="A4" s="2" t="s">
        <v>7</v>
      </c>
      <c r="B4" s="2" t="s">
        <v>10</v>
      </c>
      <c r="C4" s="2" t="s">
        <v>38</v>
      </c>
      <c r="D4" s="2">
        <v>72.13</v>
      </c>
      <c r="E4" s="2">
        <v>0.32</v>
      </c>
      <c r="F4" s="2">
        <v>0.14000000000000001</v>
      </c>
      <c r="G4" s="2">
        <v>0.43</v>
      </c>
      <c r="H4" s="2">
        <v>0.11</v>
      </c>
      <c r="I4" s="2">
        <f t="shared" si="0"/>
        <v>23.081599999999998</v>
      </c>
      <c r="J4" s="2">
        <f t="shared" si="1"/>
        <v>10.0982</v>
      </c>
      <c r="K4" s="2">
        <f t="shared" si="2"/>
        <v>31.015899999999998</v>
      </c>
      <c r="L4" s="2">
        <f t="shared" si="3"/>
        <v>7.9342999999999995</v>
      </c>
    </row>
    <row r="5" spans="1:12" x14ac:dyDescent="0.2">
      <c r="A5" s="2" t="s">
        <v>7</v>
      </c>
      <c r="B5" s="2" t="s">
        <v>11</v>
      </c>
      <c r="C5" s="2" t="s">
        <v>38</v>
      </c>
      <c r="D5" s="2">
        <v>133.62</v>
      </c>
      <c r="E5" s="2">
        <v>0.32</v>
      </c>
      <c r="F5" s="2">
        <v>0.14000000000000001</v>
      </c>
      <c r="G5" s="2">
        <v>0.43</v>
      </c>
      <c r="H5" s="2">
        <v>0.11</v>
      </c>
      <c r="I5" s="2">
        <f t="shared" si="0"/>
        <v>42.758400000000002</v>
      </c>
      <c r="J5" s="2">
        <f t="shared" si="1"/>
        <v>18.706800000000001</v>
      </c>
      <c r="K5" s="2">
        <f t="shared" si="2"/>
        <v>57.456600000000002</v>
      </c>
      <c r="L5" s="2">
        <f t="shared" si="3"/>
        <v>14.6982</v>
      </c>
    </row>
    <row r="6" spans="1:12" x14ac:dyDescent="0.2">
      <c r="A6" s="2" t="s">
        <v>12</v>
      </c>
      <c r="B6" s="2" t="s">
        <v>11</v>
      </c>
      <c r="C6" s="2" t="s">
        <v>38</v>
      </c>
      <c r="D6" s="2">
        <v>75.599999999999994</v>
      </c>
      <c r="E6" s="2">
        <v>0.03</v>
      </c>
      <c r="F6" s="2">
        <v>0.19</v>
      </c>
      <c r="G6" s="2">
        <v>0.63</v>
      </c>
      <c r="H6" s="2">
        <v>0.15</v>
      </c>
      <c r="I6" s="2">
        <f t="shared" si="0"/>
        <v>2.2679999999999998</v>
      </c>
      <c r="J6" s="2">
        <f t="shared" si="1"/>
        <v>14.363999999999999</v>
      </c>
      <c r="K6" s="2">
        <f t="shared" si="2"/>
        <v>47.628</v>
      </c>
      <c r="L6" s="2">
        <f t="shared" si="3"/>
        <v>11.339999999999998</v>
      </c>
    </row>
    <row r="7" spans="1:12" x14ac:dyDescent="0.2">
      <c r="A7" s="2" t="s">
        <v>12</v>
      </c>
      <c r="B7" s="2" t="s">
        <v>13</v>
      </c>
      <c r="C7" s="2" t="s">
        <v>38</v>
      </c>
      <c r="D7" s="2">
        <v>190.7</v>
      </c>
      <c r="E7" s="2">
        <v>0.03</v>
      </c>
      <c r="F7" s="2">
        <v>0.19</v>
      </c>
      <c r="G7" s="2">
        <v>0.63</v>
      </c>
      <c r="H7" s="2">
        <v>0.15</v>
      </c>
      <c r="I7" s="2">
        <f t="shared" si="0"/>
        <v>5.7209999999999992</v>
      </c>
      <c r="J7" s="2">
        <f t="shared" si="1"/>
        <v>36.232999999999997</v>
      </c>
      <c r="K7" s="2">
        <f t="shared" si="2"/>
        <v>120.14099999999999</v>
      </c>
      <c r="L7" s="2">
        <f t="shared" si="3"/>
        <v>28.604999999999997</v>
      </c>
    </row>
    <row r="8" spans="1:12" x14ac:dyDescent="0.2">
      <c r="A8" s="2" t="s">
        <v>12</v>
      </c>
      <c r="B8" s="2" t="s">
        <v>14</v>
      </c>
      <c r="C8" s="2" t="s">
        <v>38</v>
      </c>
      <c r="D8" s="2">
        <v>72.16</v>
      </c>
      <c r="E8" s="2">
        <v>0.03</v>
      </c>
      <c r="F8" s="2">
        <v>0.19</v>
      </c>
      <c r="G8" s="2">
        <v>0.63</v>
      </c>
      <c r="H8" s="2">
        <v>0.15</v>
      </c>
      <c r="I8" s="2">
        <f t="shared" si="0"/>
        <v>2.1647999999999996</v>
      </c>
      <c r="J8" s="2">
        <f t="shared" si="1"/>
        <v>13.7104</v>
      </c>
      <c r="K8" s="2">
        <f t="shared" si="2"/>
        <v>45.460799999999999</v>
      </c>
      <c r="L8" s="2">
        <f t="shared" si="3"/>
        <v>10.824</v>
      </c>
    </row>
    <row r="9" spans="1:12" x14ac:dyDescent="0.2">
      <c r="A9" s="2" t="s">
        <v>12</v>
      </c>
      <c r="B9" s="2" t="s">
        <v>15</v>
      </c>
      <c r="C9" s="2" t="s">
        <v>38</v>
      </c>
      <c r="D9" s="2">
        <v>79.16</v>
      </c>
      <c r="E9" s="2">
        <v>0.03</v>
      </c>
      <c r="F9" s="2">
        <v>0.19</v>
      </c>
      <c r="G9" s="2">
        <v>0.63</v>
      </c>
      <c r="H9" s="2">
        <v>0.15</v>
      </c>
      <c r="I9" s="2">
        <f t="shared" si="0"/>
        <v>2.3748</v>
      </c>
      <c r="J9" s="2">
        <f t="shared" si="1"/>
        <v>15.0404</v>
      </c>
      <c r="K9" s="2">
        <f t="shared" si="2"/>
        <v>49.870799999999996</v>
      </c>
      <c r="L9" s="2">
        <f t="shared" si="3"/>
        <v>11.873999999999999</v>
      </c>
    </row>
    <row r="10" spans="1:12" x14ac:dyDescent="0.2">
      <c r="A10" s="2" t="s">
        <v>28</v>
      </c>
      <c r="B10" s="2" t="s">
        <v>29</v>
      </c>
      <c r="C10" s="2" t="s">
        <v>38</v>
      </c>
      <c r="D10" s="2">
        <v>82.73</v>
      </c>
      <c r="E10" s="2">
        <v>0.26</v>
      </c>
      <c r="F10" s="2">
        <v>0.27</v>
      </c>
      <c r="G10" s="2">
        <v>0.28000000000000003</v>
      </c>
      <c r="H10" s="2">
        <v>0.19</v>
      </c>
      <c r="I10" s="2">
        <f t="shared" si="0"/>
        <v>21.509800000000002</v>
      </c>
      <c r="J10" s="2">
        <f t="shared" si="1"/>
        <v>22.337100000000003</v>
      </c>
      <c r="K10" s="2">
        <f t="shared" si="2"/>
        <v>23.164400000000004</v>
      </c>
      <c r="L10" s="2">
        <f t="shared" si="3"/>
        <v>15.7187</v>
      </c>
    </row>
    <row r="11" spans="1:12" x14ac:dyDescent="0.2">
      <c r="A11" s="2" t="s">
        <v>28</v>
      </c>
      <c r="B11" s="2" t="s">
        <v>30</v>
      </c>
      <c r="C11" s="2" t="s">
        <v>38</v>
      </c>
      <c r="D11" s="2">
        <v>66.13</v>
      </c>
      <c r="E11" s="2">
        <v>0.26</v>
      </c>
      <c r="F11" s="2">
        <v>0.27</v>
      </c>
      <c r="G11" s="2">
        <v>0.28000000000000003</v>
      </c>
      <c r="H11" s="2">
        <v>0.19</v>
      </c>
      <c r="I11" s="2">
        <f t="shared" si="0"/>
        <v>17.1938</v>
      </c>
      <c r="J11" s="2">
        <f t="shared" si="1"/>
        <v>17.8551</v>
      </c>
      <c r="K11" s="2">
        <f t="shared" si="2"/>
        <v>18.516400000000001</v>
      </c>
      <c r="L11" s="2">
        <f t="shared" si="3"/>
        <v>12.564699999999998</v>
      </c>
    </row>
    <row r="12" spans="1:12" x14ac:dyDescent="0.2">
      <c r="A12" s="2" t="s">
        <v>28</v>
      </c>
      <c r="B12" s="2" t="s">
        <v>31</v>
      </c>
      <c r="C12" s="2" t="s">
        <v>38</v>
      </c>
      <c r="D12" s="2">
        <v>83.93</v>
      </c>
      <c r="E12" s="2">
        <v>0.26</v>
      </c>
      <c r="F12" s="2">
        <v>0.27</v>
      </c>
      <c r="G12" s="2">
        <v>0.28000000000000003</v>
      </c>
      <c r="H12" s="2">
        <v>0.19</v>
      </c>
      <c r="I12" s="2">
        <f t="shared" si="0"/>
        <v>21.821800000000003</v>
      </c>
      <c r="J12" s="2">
        <f t="shared" si="1"/>
        <v>22.661100000000005</v>
      </c>
      <c r="K12" s="2">
        <f t="shared" si="2"/>
        <v>23.500400000000003</v>
      </c>
      <c r="L12" s="2">
        <f t="shared" si="3"/>
        <v>15.946700000000002</v>
      </c>
    </row>
    <row r="13" spans="1:12" x14ac:dyDescent="0.2">
      <c r="A13" s="2" t="s">
        <v>28</v>
      </c>
      <c r="B13" s="2" t="s">
        <v>17</v>
      </c>
      <c r="C13" s="2" t="s">
        <v>38</v>
      </c>
      <c r="D13" s="2">
        <v>106.27</v>
      </c>
      <c r="E13" s="2">
        <v>0.26</v>
      </c>
      <c r="F13" s="2">
        <v>0.27</v>
      </c>
      <c r="G13" s="2">
        <v>0.28000000000000003</v>
      </c>
      <c r="H13" s="2">
        <v>0.19</v>
      </c>
      <c r="I13" s="2">
        <f t="shared" si="0"/>
        <v>27.630199999999999</v>
      </c>
      <c r="J13" s="2">
        <f t="shared" si="1"/>
        <v>28.692900000000002</v>
      </c>
      <c r="K13" s="2">
        <f t="shared" si="2"/>
        <v>29.755600000000001</v>
      </c>
      <c r="L13" s="2">
        <f t="shared" si="3"/>
        <v>20.191299999999998</v>
      </c>
    </row>
    <row r="14" spans="1:12" x14ac:dyDescent="0.2">
      <c r="A14" s="2" t="s">
        <v>16</v>
      </c>
      <c r="B14" s="2" t="s">
        <v>17</v>
      </c>
      <c r="C14" s="2" t="s">
        <v>37</v>
      </c>
      <c r="D14" s="2">
        <v>184.19</v>
      </c>
      <c r="E14" s="2">
        <v>0.51</v>
      </c>
      <c r="F14" s="2">
        <v>0.12</v>
      </c>
      <c r="G14" s="2">
        <v>0.32</v>
      </c>
      <c r="H14" s="2">
        <v>0.05</v>
      </c>
      <c r="I14" s="2">
        <f t="shared" si="0"/>
        <v>93.936899999999994</v>
      </c>
      <c r="J14" s="2">
        <f t="shared" si="1"/>
        <v>22.102799999999998</v>
      </c>
      <c r="K14" s="2">
        <f t="shared" si="2"/>
        <v>58.940800000000003</v>
      </c>
      <c r="L14" s="2">
        <f t="shared" si="3"/>
        <v>9.2095000000000002</v>
      </c>
    </row>
    <row r="15" spans="1:12" x14ac:dyDescent="0.2">
      <c r="A15" s="2" t="s">
        <v>16</v>
      </c>
      <c r="B15" s="2" t="s">
        <v>18</v>
      </c>
      <c r="C15" s="2" t="s">
        <v>37</v>
      </c>
      <c r="D15" s="2">
        <v>140.6</v>
      </c>
      <c r="E15" s="2">
        <v>0.51</v>
      </c>
      <c r="F15" s="2">
        <v>0.12</v>
      </c>
      <c r="G15" s="2">
        <v>0.32</v>
      </c>
      <c r="H15" s="2">
        <v>0.05</v>
      </c>
      <c r="I15" s="2">
        <f t="shared" si="0"/>
        <v>71.706000000000003</v>
      </c>
      <c r="J15" s="2">
        <f t="shared" si="1"/>
        <v>16.872</v>
      </c>
      <c r="K15" s="2">
        <f t="shared" si="2"/>
        <v>44.991999999999997</v>
      </c>
      <c r="L15" s="2">
        <f t="shared" si="3"/>
        <v>7.03</v>
      </c>
    </row>
    <row r="16" spans="1:12" x14ac:dyDescent="0.2">
      <c r="A16" s="2" t="s">
        <v>16</v>
      </c>
      <c r="B16" s="2" t="s">
        <v>19</v>
      </c>
      <c r="C16" s="2" t="s">
        <v>37</v>
      </c>
      <c r="D16" s="2">
        <v>141.77000000000001</v>
      </c>
      <c r="E16" s="2">
        <v>0.51</v>
      </c>
      <c r="F16" s="2">
        <v>0.12</v>
      </c>
      <c r="G16" s="2">
        <v>0.32</v>
      </c>
      <c r="H16" s="2">
        <v>0.05</v>
      </c>
      <c r="I16" s="2">
        <f t="shared" si="0"/>
        <v>72.302700000000002</v>
      </c>
      <c r="J16" s="2">
        <f t="shared" si="1"/>
        <v>17.0124</v>
      </c>
      <c r="K16" s="2">
        <f t="shared" si="2"/>
        <v>45.366400000000006</v>
      </c>
      <c r="L16" s="2">
        <f t="shared" si="3"/>
        <v>7.0885000000000007</v>
      </c>
    </row>
    <row r="17" spans="1:12" x14ac:dyDescent="0.2">
      <c r="A17" s="2" t="s">
        <v>20</v>
      </c>
      <c r="B17" s="2" t="s">
        <v>21</v>
      </c>
      <c r="C17" s="2" t="s">
        <v>37</v>
      </c>
      <c r="D17" s="2">
        <v>187.75</v>
      </c>
      <c r="E17" s="2">
        <v>0.36</v>
      </c>
      <c r="F17" s="2">
        <v>0.14000000000000001</v>
      </c>
      <c r="G17" s="2">
        <v>0.41</v>
      </c>
      <c r="H17" s="2">
        <v>0.09</v>
      </c>
      <c r="I17" s="2">
        <f t="shared" si="0"/>
        <v>67.59</v>
      </c>
      <c r="J17" s="2">
        <f t="shared" si="1"/>
        <v>26.285000000000004</v>
      </c>
      <c r="K17" s="2">
        <f t="shared" si="2"/>
        <v>76.977499999999992</v>
      </c>
      <c r="L17" s="2">
        <f t="shared" si="3"/>
        <v>16.897500000000001</v>
      </c>
    </row>
    <row r="18" spans="1:12" x14ac:dyDescent="0.2">
      <c r="A18" s="2" t="s">
        <v>20</v>
      </c>
      <c r="B18" s="2" t="s">
        <v>22</v>
      </c>
      <c r="C18" s="2" t="s">
        <v>37</v>
      </c>
      <c r="D18" s="2">
        <v>139.66</v>
      </c>
      <c r="E18" s="2">
        <v>0.36</v>
      </c>
      <c r="F18" s="2">
        <v>0.14000000000000001</v>
      </c>
      <c r="G18" s="2">
        <v>0.41</v>
      </c>
      <c r="H18" s="2">
        <v>0.09</v>
      </c>
      <c r="I18" s="2">
        <f t="shared" si="0"/>
        <v>50.2776</v>
      </c>
      <c r="J18" s="2">
        <f t="shared" si="1"/>
        <v>19.552400000000002</v>
      </c>
      <c r="K18" s="2">
        <f t="shared" si="2"/>
        <v>57.260599999999997</v>
      </c>
      <c r="L18" s="2">
        <f t="shared" si="3"/>
        <v>12.5694</v>
      </c>
    </row>
    <row r="19" spans="1:12" x14ac:dyDescent="0.2">
      <c r="A19" s="2" t="s">
        <v>20</v>
      </c>
      <c r="B19" s="2" t="s">
        <v>23</v>
      </c>
      <c r="C19" s="2" t="s">
        <v>37</v>
      </c>
      <c r="D19" s="2">
        <v>151.26</v>
      </c>
      <c r="E19" s="2">
        <v>0.36</v>
      </c>
      <c r="F19" s="2">
        <v>0.14000000000000001</v>
      </c>
      <c r="G19" s="2">
        <v>0.41</v>
      </c>
      <c r="H19" s="2">
        <v>0.09</v>
      </c>
      <c r="I19" s="2">
        <f t="shared" si="0"/>
        <v>54.453599999999994</v>
      </c>
      <c r="J19" s="2">
        <f t="shared" si="1"/>
        <v>21.176400000000001</v>
      </c>
      <c r="K19" s="2">
        <f t="shared" si="2"/>
        <v>62.01659999999999</v>
      </c>
      <c r="L19" s="2">
        <f t="shared" si="3"/>
        <v>13.613399999999999</v>
      </c>
    </row>
    <row r="20" spans="1:12" x14ac:dyDescent="0.2">
      <c r="A20" s="2" t="s">
        <v>20</v>
      </c>
      <c r="B20" s="2" t="s">
        <v>24</v>
      </c>
      <c r="C20" s="2" t="s">
        <v>37</v>
      </c>
      <c r="D20" s="2">
        <v>166.56</v>
      </c>
      <c r="E20" s="2">
        <v>0.36</v>
      </c>
      <c r="F20" s="2">
        <v>0.14000000000000001</v>
      </c>
      <c r="G20" s="2">
        <v>0.41</v>
      </c>
      <c r="H20" s="2">
        <v>0.09</v>
      </c>
      <c r="I20" s="2">
        <f t="shared" si="0"/>
        <v>59.961599999999997</v>
      </c>
      <c r="J20" s="2">
        <f t="shared" si="1"/>
        <v>23.318400000000004</v>
      </c>
      <c r="K20" s="2">
        <f t="shared" si="2"/>
        <v>68.289599999999993</v>
      </c>
      <c r="L20" s="2">
        <f t="shared" si="3"/>
        <v>14.990399999999999</v>
      </c>
    </row>
    <row r="21" spans="1:12" x14ac:dyDescent="0.2">
      <c r="A21" s="2" t="s">
        <v>25</v>
      </c>
      <c r="B21" s="2" t="s">
        <v>26</v>
      </c>
      <c r="C21" s="2" t="s">
        <v>37</v>
      </c>
      <c r="D21" s="2">
        <v>129.86000000000001</v>
      </c>
      <c r="E21" s="2">
        <v>0.26</v>
      </c>
      <c r="F21" s="2">
        <v>0.11</v>
      </c>
      <c r="G21" s="2">
        <v>0.56000000000000005</v>
      </c>
      <c r="H21" s="2">
        <v>7.0000000000000007E-2</v>
      </c>
      <c r="I21" s="2">
        <f t="shared" si="0"/>
        <v>33.763600000000004</v>
      </c>
      <c r="J21" s="2">
        <f t="shared" si="1"/>
        <v>14.284600000000001</v>
      </c>
      <c r="K21" s="2">
        <f t="shared" si="2"/>
        <v>72.721600000000009</v>
      </c>
      <c r="L21" s="2">
        <f t="shared" si="3"/>
        <v>9.0902000000000012</v>
      </c>
    </row>
    <row r="22" spans="1:12" x14ac:dyDescent="0.2">
      <c r="A22" s="2" t="s">
        <v>25</v>
      </c>
      <c r="B22" s="2" t="s">
        <v>27</v>
      </c>
      <c r="C22" s="2" t="s">
        <v>37</v>
      </c>
      <c r="D22" s="2">
        <v>160.56</v>
      </c>
      <c r="E22" s="2">
        <v>0.26</v>
      </c>
      <c r="F22" s="2">
        <v>0.11</v>
      </c>
      <c r="G22" s="2">
        <v>0.56000000000000005</v>
      </c>
      <c r="H22" s="2">
        <v>7.0000000000000007E-2</v>
      </c>
      <c r="I22" s="2">
        <f t="shared" si="0"/>
        <v>41.745600000000003</v>
      </c>
      <c r="J22" s="2">
        <f t="shared" si="1"/>
        <v>17.6616</v>
      </c>
      <c r="K22" s="2">
        <f t="shared" si="2"/>
        <v>89.913600000000017</v>
      </c>
      <c r="L22" s="2">
        <f t="shared" si="3"/>
        <v>11.239200000000002</v>
      </c>
    </row>
    <row r="23" spans="1:12" x14ac:dyDescent="0.2">
      <c r="A23" s="2" t="s">
        <v>25</v>
      </c>
      <c r="B23" s="2" t="s">
        <v>15</v>
      </c>
      <c r="C23" s="2" t="s">
        <v>37</v>
      </c>
      <c r="D23" s="2">
        <v>134.66999999999999</v>
      </c>
      <c r="E23" s="2">
        <v>0.26</v>
      </c>
      <c r="F23" s="2">
        <v>0.11</v>
      </c>
      <c r="G23" s="2">
        <v>0.56000000000000005</v>
      </c>
      <c r="H23" s="2">
        <v>7.0000000000000007E-2</v>
      </c>
      <c r="I23" s="2">
        <f t="shared" si="0"/>
        <v>35.014199999999995</v>
      </c>
      <c r="J23" s="2">
        <f t="shared" si="1"/>
        <v>14.813699999999999</v>
      </c>
      <c r="K23" s="2">
        <f t="shared" si="2"/>
        <v>75.415199999999999</v>
      </c>
      <c r="L23" s="2">
        <f t="shared" si="3"/>
        <v>9.4268999999999998</v>
      </c>
    </row>
    <row r="24" spans="1:12" x14ac:dyDescent="0.2">
      <c r="A24" s="4" t="s">
        <v>39</v>
      </c>
      <c r="B24" s="2" t="s">
        <v>40</v>
      </c>
      <c r="C24" s="4" t="s">
        <v>46</v>
      </c>
      <c r="D24" s="2">
        <v>82.8</v>
      </c>
      <c r="E24" s="4">
        <v>0.28999999999999998</v>
      </c>
      <c r="F24" s="4">
        <v>0.15</v>
      </c>
      <c r="G24" s="4">
        <v>0.43</v>
      </c>
      <c r="H24" s="4">
        <v>0.12</v>
      </c>
      <c r="I24" s="2">
        <f t="shared" si="0"/>
        <v>24.011999999999997</v>
      </c>
      <c r="J24" s="2">
        <f t="shared" si="1"/>
        <v>12.42</v>
      </c>
      <c r="K24" s="2">
        <f t="shared" si="2"/>
        <v>35.603999999999999</v>
      </c>
      <c r="L24" s="2">
        <f t="shared" si="3"/>
        <v>9.9359999999999999</v>
      </c>
    </row>
    <row r="25" spans="1:12" x14ac:dyDescent="0.2">
      <c r="A25" s="2" t="s">
        <v>39</v>
      </c>
      <c r="B25" s="2" t="s">
        <v>41</v>
      </c>
      <c r="C25" s="2" t="s">
        <v>46</v>
      </c>
      <c r="D25" s="2">
        <v>81.52</v>
      </c>
      <c r="E25" s="2">
        <v>0.28999999999999998</v>
      </c>
      <c r="F25" s="2">
        <v>0.15</v>
      </c>
      <c r="G25" s="2">
        <v>0.43</v>
      </c>
      <c r="H25" s="2">
        <v>0.12</v>
      </c>
      <c r="I25" s="2">
        <f t="shared" si="0"/>
        <v>23.640799999999999</v>
      </c>
      <c r="J25" s="2">
        <f t="shared" si="1"/>
        <v>12.228</v>
      </c>
      <c r="K25" s="2">
        <f t="shared" si="2"/>
        <v>35.053599999999996</v>
      </c>
      <c r="L25" s="2">
        <f t="shared" si="3"/>
        <v>9.7823999999999991</v>
      </c>
    </row>
    <row r="26" spans="1:12" x14ac:dyDescent="0.2">
      <c r="A26" s="2" t="s">
        <v>39</v>
      </c>
      <c r="B26" s="2" t="s">
        <v>42</v>
      </c>
      <c r="C26" s="2" t="s">
        <v>46</v>
      </c>
      <c r="D26" s="2">
        <v>66.23</v>
      </c>
      <c r="E26" s="2">
        <v>0.28999999999999998</v>
      </c>
      <c r="F26" s="2">
        <v>0.15</v>
      </c>
      <c r="G26" s="2">
        <v>0.43</v>
      </c>
      <c r="H26" s="2">
        <v>0.12</v>
      </c>
      <c r="I26" s="2">
        <f t="shared" si="0"/>
        <v>19.206700000000001</v>
      </c>
      <c r="J26" s="2">
        <f t="shared" si="1"/>
        <v>9.9344999999999999</v>
      </c>
      <c r="K26" s="2">
        <f t="shared" si="2"/>
        <v>28.478900000000003</v>
      </c>
      <c r="L26" s="2">
        <f t="shared" si="3"/>
        <v>7.9476000000000004</v>
      </c>
    </row>
    <row r="27" spans="1:12" x14ac:dyDescent="0.2">
      <c r="A27" s="2" t="s">
        <v>39</v>
      </c>
      <c r="B27" s="2" t="s">
        <v>43</v>
      </c>
      <c r="C27" s="2" t="s">
        <v>46</v>
      </c>
      <c r="D27" s="2">
        <v>91</v>
      </c>
      <c r="E27" s="2">
        <v>0.28999999999999998</v>
      </c>
      <c r="F27" s="2">
        <v>0.15</v>
      </c>
      <c r="G27" s="2">
        <v>0.43</v>
      </c>
      <c r="H27" s="2">
        <v>0.12</v>
      </c>
      <c r="I27" s="2">
        <f t="shared" si="0"/>
        <v>26.389999999999997</v>
      </c>
      <c r="J27" s="2">
        <f t="shared" si="1"/>
        <v>13.65</v>
      </c>
      <c r="K27" s="2">
        <f t="shared" si="2"/>
        <v>39.130000000000003</v>
      </c>
      <c r="L27" s="2">
        <f t="shared" si="3"/>
        <v>10.92</v>
      </c>
    </row>
    <row r="28" spans="1:12" x14ac:dyDescent="0.2">
      <c r="A28" s="2" t="s">
        <v>39</v>
      </c>
      <c r="B28" s="2" t="s">
        <v>44</v>
      </c>
      <c r="C28" s="2" t="s">
        <v>46</v>
      </c>
      <c r="D28" s="2">
        <v>79.23</v>
      </c>
      <c r="E28" s="2">
        <v>0.28999999999999998</v>
      </c>
      <c r="F28" s="2">
        <v>0.15</v>
      </c>
      <c r="G28" s="2">
        <v>0.43</v>
      </c>
      <c r="H28" s="2">
        <v>0.12</v>
      </c>
      <c r="I28" s="2">
        <f t="shared" si="0"/>
        <v>22.976700000000001</v>
      </c>
      <c r="J28" s="2">
        <f t="shared" si="1"/>
        <v>11.884500000000001</v>
      </c>
      <c r="K28" s="2">
        <f t="shared" si="2"/>
        <v>34.068899999999999</v>
      </c>
      <c r="L28" s="2">
        <f t="shared" si="3"/>
        <v>9.5076000000000001</v>
      </c>
    </row>
    <row r="29" spans="1:12" x14ac:dyDescent="0.2">
      <c r="A29" s="2" t="s">
        <v>39</v>
      </c>
      <c r="B29" s="2" t="s">
        <v>45</v>
      </c>
      <c r="C29" s="2" t="s">
        <v>46</v>
      </c>
      <c r="D29" s="2">
        <v>76.8</v>
      </c>
      <c r="E29" s="2">
        <v>0.28999999999999998</v>
      </c>
      <c r="F29" s="2">
        <v>0.15</v>
      </c>
      <c r="G29" s="2">
        <v>0.43</v>
      </c>
      <c r="H29" s="2">
        <v>0.12</v>
      </c>
      <c r="I29" s="2">
        <f t="shared" si="0"/>
        <v>22.271999999999998</v>
      </c>
      <c r="J29" s="2">
        <f t="shared" si="1"/>
        <v>11.52</v>
      </c>
      <c r="K29" s="2">
        <f t="shared" si="2"/>
        <v>33.024000000000001</v>
      </c>
      <c r="L29" s="2">
        <f t="shared" si="3"/>
        <v>9.2159999999999993</v>
      </c>
    </row>
    <row r="30" spans="1:12" x14ac:dyDescent="0.2">
      <c r="A30" s="2" t="s">
        <v>47</v>
      </c>
      <c r="B30" s="2" t="s">
        <v>48</v>
      </c>
      <c r="C30" s="2" t="s">
        <v>46</v>
      </c>
      <c r="D30" s="2">
        <v>79.23</v>
      </c>
      <c r="E30" s="4">
        <v>0.1</v>
      </c>
      <c r="F30" s="4">
        <v>0.15</v>
      </c>
      <c r="G30" s="4">
        <v>0.55000000000000004</v>
      </c>
      <c r="H30" s="4">
        <v>0.2</v>
      </c>
      <c r="I30" s="2">
        <f t="shared" si="0"/>
        <v>7.9230000000000009</v>
      </c>
      <c r="J30" s="2">
        <f t="shared" si="1"/>
        <v>11.884500000000001</v>
      </c>
      <c r="K30" s="2">
        <f t="shared" si="2"/>
        <v>43.576500000000003</v>
      </c>
      <c r="L30" s="2">
        <f t="shared" si="3"/>
        <v>15.846000000000002</v>
      </c>
    </row>
    <row r="31" spans="1:12" x14ac:dyDescent="0.2">
      <c r="A31" s="2" t="s">
        <v>47</v>
      </c>
      <c r="B31" s="2" t="s">
        <v>49</v>
      </c>
      <c r="C31" s="2" t="s">
        <v>46</v>
      </c>
      <c r="D31" s="2">
        <v>88.74</v>
      </c>
      <c r="E31" s="2">
        <v>0.1</v>
      </c>
      <c r="F31" s="2">
        <v>0.15</v>
      </c>
      <c r="G31" s="2">
        <v>0.55000000000000004</v>
      </c>
      <c r="H31" s="2">
        <v>0.2</v>
      </c>
      <c r="I31" s="2">
        <f t="shared" si="0"/>
        <v>8.8740000000000006</v>
      </c>
      <c r="J31" s="2">
        <f t="shared" si="1"/>
        <v>13.310999999999998</v>
      </c>
      <c r="K31" s="2">
        <f t="shared" si="2"/>
        <v>48.807000000000002</v>
      </c>
      <c r="L31" s="2">
        <f t="shared" si="3"/>
        <v>17.748000000000001</v>
      </c>
    </row>
    <row r="32" spans="1:12" x14ac:dyDescent="0.2">
      <c r="A32" s="2" t="s">
        <v>47</v>
      </c>
      <c r="B32" s="2" t="s">
        <v>50</v>
      </c>
      <c r="C32" s="2" t="s">
        <v>46</v>
      </c>
      <c r="D32" s="2">
        <v>91.2</v>
      </c>
      <c r="E32" s="2">
        <v>0.1</v>
      </c>
      <c r="F32" s="2">
        <v>0.15</v>
      </c>
      <c r="G32" s="2">
        <v>0.55000000000000004</v>
      </c>
      <c r="H32" s="2">
        <v>0.2</v>
      </c>
      <c r="I32" s="2">
        <f t="shared" si="0"/>
        <v>9.120000000000001</v>
      </c>
      <c r="J32" s="2">
        <f t="shared" si="1"/>
        <v>13.68</v>
      </c>
      <c r="K32" s="2">
        <f t="shared" si="2"/>
        <v>50.160000000000004</v>
      </c>
      <c r="L32" s="2">
        <f t="shared" si="3"/>
        <v>18.240000000000002</v>
      </c>
    </row>
    <row r="33" spans="1:12" x14ac:dyDescent="0.2">
      <c r="A33" s="2" t="s">
        <v>51</v>
      </c>
      <c r="B33" s="2" t="s">
        <v>52</v>
      </c>
      <c r="C33" s="2" t="s">
        <v>46</v>
      </c>
      <c r="D33" s="2">
        <v>86.34</v>
      </c>
      <c r="E33" s="4">
        <v>0.21</v>
      </c>
      <c r="F33" s="4">
        <v>0.13</v>
      </c>
      <c r="G33" s="4">
        <v>0.53</v>
      </c>
      <c r="H33" s="4">
        <v>0.12</v>
      </c>
      <c r="I33" s="2">
        <f t="shared" si="0"/>
        <v>18.131399999999999</v>
      </c>
      <c r="J33" s="2">
        <f t="shared" si="1"/>
        <v>11.224200000000002</v>
      </c>
      <c r="K33" s="2">
        <f t="shared" si="2"/>
        <v>45.760200000000005</v>
      </c>
      <c r="L33" s="2">
        <f t="shared" si="3"/>
        <v>10.360799999999999</v>
      </c>
    </row>
    <row r="34" spans="1:12" x14ac:dyDescent="0.2">
      <c r="A34" s="2" t="s">
        <v>51</v>
      </c>
      <c r="B34" s="2" t="s">
        <v>53</v>
      </c>
      <c r="C34" s="2" t="s">
        <v>46</v>
      </c>
      <c r="D34" s="2">
        <v>107.8</v>
      </c>
      <c r="E34" s="2">
        <v>0.21</v>
      </c>
      <c r="F34" s="2">
        <v>0.13</v>
      </c>
      <c r="G34" s="2">
        <v>0.53</v>
      </c>
      <c r="H34" s="2">
        <v>0.12</v>
      </c>
      <c r="I34" s="2">
        <f t="shared" si="0"/>
        <v>22.637999999999998</v>
      </c>
      <c r="J34" s="2">
        <f t="shared" si="1"/>
        <v>14.013999999999999</v>
      </c>
      <c r="K34" s="2">
        <f t="shared" si="2"/>
        <v>57.134</v>
      </c>
      <c r="L34" s="2">
        <f t="shared" si="3"/>
        <v>12.936</v>
      </c>
    </row>
    <row r="35" spans="1:12" x14ac:dyDescent="0.2">
      <c r="A35" s="2" t="s">
        <v>54</v>
      </c>
      <c r="B35" s="2" t="s">
        <v>55</v>
      </c>
      <c r="C35" s="2" t="s">
        <v>46</v>
      </c>
      <c r="D35" s="2">
        <v>121.92</v>
      </c>
      <c r="E35" s="2">
        <v>0.21</v>
      </c>
      <c r="F35" s="2">
        <v>0.13</v>
      </c>
      <c r="G35" s="2">
        <v>0.53</v>
      </c>
      <c r="H35" s="2">
        <v>0.12</v>
      </c>
      <c r="I35" s="2">
        <f t="shared" si="0"/>
        <v>25.603200000000001</v>
      </c>
      <c r="J35" s="2">
        <f t="shared" si="1"/>
        <v>15.849600000000001</v>
      </c>
      <c r="K35" s="2">
        <f t="shared" si="2"/>
        <v>64.61760000000001</v>
      </c>
      <c r="L35" s="2">
        <f t="shared" si="3"/>
        <v>14.6304</v>
      </c>
    </row>
    <row r="36" spans="1:12" x14ac:dyDescent="0.2">
      <c r="A36" s="2" t="s">
        <v>54</v>
      </c>
      <c r="B36" s="2" t="s">
        <v>56</v>
      </c>
      <c r="C36" s="2" t="s">
        <v>46</v>
      </c>
      <c r="D36" s="2">
        <v>103</v>
      </c>
      <c r="E36" s="2">
        <v>0.21</v>
      </c>
      <c r="F36" s="2">
        <v>0.13</v>
      </c>
      <c r="G36" s="2">
        <v>0.53</v>
      </c>
      <c r="H36" s="2">
        <v>0.12</v>
      </c>
      <c r="I36" s="2">
        <f t="shared" si="0"/>
        <v>21.63</v>
      </c>
      <c r="J36" s="2">
        <f t="shared" si="1"/>
        <v>13.39</v>
      </c>
      <c r="K36" s="2">
        <f t="shared" si="2"/>
        <v>54.59</v>
      </c>
      <c r="L36" s="2">
        <f t="shared" si="3"/>
        <v>12.36</v>
      </c>
    </row>
    <row r="37" spans="1:12" x14ac:dyDescent="0.2">
      <c r="A37" s="2" t="s">
        <v>57</v>
      </c>
      <c r="B37" s="2" t="s">
        <v>58</v>
      </c>
      <c r="C37" s="2" t="s">
        <v>46</v>
      </c>
      <c r="D37" s="2">
        <v>79.5</v>
      </c>
      <c r="E37" s="2">
        <v>0.21</v>
      </c>
      <c r="F37" s="2">
        <v>0.13</v>
      </c>
      <c r="G37" s="2">
        <v>0.53</v>
      </c>
      <c r="H37" s="2">
        <v>0.12</v>
      </c>
      <c r="I37" s="2">
        <f t="shared" si="0"/>
        <v>16.695</v>
      </c>
      <c r="J37" s="2">
        <f t="shared" si="1"/>
        <v>10.335000000000001</v>
      </c>
      <c r="K37" s="2">
        <f t="shared" si="2"/>
        <v>42.135000000000005</v>
      </c>
      <c r="L37" s="2">
        <f t="shared" si="3"/>
        <v>9.5399999999999991</v>
      </c>
    </row>
    <row r="38" spans="1:12" x14ac:dyDescent="0.2">
      <c r="A38" s="2" t="s">
        <v>59</v>
      </c>
      <c r="B38" s="2" t="s">
        <v>60</v>
      </c>
      <c r="C38" s="2" t="s">
        <v>63</v>
      </c>
      <c r="D38" s="2">
        <v>121.51</v>
      </c>
      <c r="E38" s="2">
        <v>0.28000000000000003</v>
      </c>
      <c r="F38" s="2">
        <v>0.16</v>
      </c>
      <c r="G38" s="2">
        <v>0.45</v>
      </c>
      <c r="H38" s="2">
        <v>0.11</v>
      </c>
      <c r="I38" s="2">
        <f>E38*D38</f>
        <v>34.022800000000004</v>
      </c>
      <c r="J38" s="2">
        <f>F38*D38</f>
        <v>19.441600000000001</v>
      </c>
      <c r="K38" s="2">
        <f>G38*D38</f>
        <v>54.679500000000004</v>
      </c>
      <c r="L38" s="2">
        <f>H38*D38</f>
        <v>13.366100000000001</v>
      </c>
    </row>
    <row r="39" spans="1:12" x14ac:dyDescent="0.2">
      <c r="A39" s="2" t="s">
        <v>59</v>
      </c>
      <c r="B39" s="2" t="s">
        <v>61</v>
      </c>
      <c r="C39" s="2" t="s">
        <v>63</v>
      </c>
      <c r="D39" s="2">
        <v>146.28</v>
      </c>
      <c r="E39" s="2">
        <v>0.28000000000000003</v>
      </c>
      <c r="F39" s="2">
        <v>0.16</v>
      </c>
      <c r="G39" s="2">
        <v>0.45</v>
      </c>
      <c r="H39" s="2">
        <v>0.11</v>
      </c>
      <c r="I39" s="2">
        <f t="shared" ref="I39:I58" si="4">E39*D39</f>
        <v>40.958400000000005</v>
      </c>
      <c r="J39" s="2">
        <f t="shared" ref="J39:J58" si="5">F39*D39</f>
        <v>23.404800000000002</v>
      </c>
      <c r="K39" s="2">
        <f t="shared" ref="K39:K58" si="6">G39*D39</f>
        <v>65.826000000000008</v>
      </c>
      <c r="L39" s="2">
        <f t="shared" ref="L39:L58" si="7">H39*D39</f>
        <v>16.090800000000002</v>
      </c>
    </row>
    <row r="40" spans="1:12" x14ac:dyDescent="0.2">
      <c r="A40" s="2" t="s">
        <v>59</v>
      </c>
      <c r="B40" s="2" t="s">
        <v>62</v>
      </c>
      <c r="C40" s="2" t="s">
        <v>63</v>
      </c>
      <c r="D40" s="4">
        <v>145.1</v>
      </c>
      <c r="E40" s="2">
        <v>0.28000000000000003</v>
      </c>
      <c r="F40" s="2">
        <v>0.16</v>
      </c>
      <c r="G40" s="2">
        <v>0.45</v>
      </c>
      <c r="H40" s="2">
        <v>0.11</v>
      </c>
      <c r="I40" s="2">
        <f t="shared" si="4"/>
        <v>40.628</v>
      </c>
      <c r="J40" s="2">
        <f t="shared" si="5"/>
        <v>23.216000000000001</v>
      </c>
      <c r="K40" s="2">
        <f t="shared" si="6"/>
        <v>65.295000000000002</v>
      </c>
      <c r="L40" s="2">
        <f t="shared" si="7"/>
        <v>15.961</v>
      </c>
    </row>
    <row r="41" spans="1:12" x14ac:dyDescent="0.2">
      <c r="A41" s="2" t="s">
        <v>64</v>
      </c>
      <c r="B41" s="2" t="s">
        <v>65</v>
      </c>
      <c r="C41" s="2" t="s">
        <v>63</v>
      </c>
      <c r="D41" s="2">
        <v>128.61000000000001</v>
      </c>
      <c r="E41" s="2">
        <v>0.21</v>
      </c>
      <c r="F41" s="2">
        <v>0.19</v>
      </c>
      <c r="G41" s="2">
        <v>0.48</v>
      </c>
      <c r="H41" s="2">
        <v>0.12</v>
      </c>
      <c r="I41" s="2">
        <f t="shared" si="4"/>
        <v>27.008100000000002</v>
      </c>
      <c r="J41" s="2">
        <f t="shared" si="5"/>
        <v>24.435900000000004</v>
      </c>
      <c r="K41" s="2">
        <f t="shared" si="6"/>
        <v>61.732800000000005</v>
      </c>
      <c r="L41" s="2">
        <f t="shared" si="7"/>
        <v>15.433200000000001</v>
      </c>
    </row>
    <row r="42" spans="1:12" x14ac:dyDescent="0.2">
      <c r="A42" s="2" t="s">
        <v>64</v>
      </c>
      <c r="B42" s="2" t="s">
        <v>66</v>
      </c>
      <c r="C42" s="2" t="s">
        <v>63</v>
      </c>
      <c r="D42" s="2">
        <v>101.5</v>
      </c>
      <c r="E42" s="2">
        <v>0.21</v>
      </c>
      <c r="F42" s="2">
        <v>0.19</v>
      </c>
      <c r="G42" s="2">
        <v>0.48</v>
      </c>
      <c r="H42" s="2">
        <v>0.12</v>
      </c>
      <c r="I42" s="2">
        <f t="shared" si="4"/>
        <v>21.314999999999998</v>
      </c>
      <c r="J42" s="2">
        <f t="shared" si="5"/>
        <v>19.285</v>
      </c>
      <c r="K42" s="2">
        <f t="shared" si="6"/>
        <v>48.72</v>
      </c>
      <c r="L42" s="2">
        <f t="shared" si="7"/>
        <v>12.18</v>
      </c>
    </row>
    <row r="43" spans="1:12" x14ac:dyDescent="0.2">
      <c r="A43" s="2" t="s">
        <v>67</v>
      </c>
      <c r="B43" s="2" t="s">
        <v>68</v>
      </c>
      <c r="C43" s="2" t="s">
        <v>63</v>
      </c>
      <c r="D43" s="4">
        <v>119.14</v>
      </c>
      <c r="E43" s="2">
        <v>0.05</v>
      </c>
      <c r="F43" s="2">
        <v>0.17</v>
      </c>
      <c r="G43" s="2">
        <v>0.68</v>
      </c>
      <c r="H43" s="2">
        <v>0.1</v>
      </c>
      <c r="I43" s="2">
        <f t="shared" si="4"/>
        <v>5.9570000000000007</v>
      </c>
      <c r="J43" s="2">
        <f t="shared" si="5"/>
        <v>20.253800000000002</v>
      </c>
      <c r="K43" s="2">
        <f t="shared" si="6"/>
        <v>81.015200000000007</v>
      </c>
      <c r="L43" s="2">
        <f t="shared" si="7"/>
        <v>11.914000000000001</v>
      </c>
    </row>
    <row r="44" spans="1:12" x14ac:dyDescent="0.2">
      <c r="A44" s="2" t="s">
        <v>67</v>
      </c>
      <c r="B44" s="2" t="s">
        <v>69</v>
      </c>
      <c r="C44" s="2" t="s">
        <v>63</v>
      </c>
      <c r="D44" s="2">
        <v>142.80000000000001</v>
      </c>
      <c r="E44" s="2">
        <v>0.05</v>
      </c>
      <c r="F44" s="2">
        <v>0.17</v>
      </c>
      <c r="G44" s="2">
        <v>0.68</v>
      </c>
      <c r="H44" s="2">
        <v>0.1</v>
      </c>
      <c r="I44" s="2">
        <f t="shared" si="4"/>
        <v>7.1400000000000006</v>
      </c>
      <c r="J44" s="2">
        <f t="shared" si="5"/>
        <v>24.276000000000003</v>
      </c>
      <c r="K44" s="2">
        <f t="shared" si="6"/>
        <v>97.104000000000013</v>
      </c>
      <c r="L44" s="2">
        <f t="shared" si="7"/>
        <v>14.280000000000001</v>
      </c>
    </row>
    <row r="45" spans="1:12" x14ac:dyDescent="0.2">
      <c r="A45" s="2" t="s">
        <v>67</v>
      </c>
      <c r="B45" s="2" t="s">
        <v>70</v>
      </c>
      <c r="C45" s="2" t="s">
        <v>63</v>
      </c>
      <c r="D45" s="2">
        <v>108.52</v>
      </c>
      <c r="E45" s="2">
        <v>0.05</v>
      </c>
      <c r="F45" s="2">
        <v>0.17</v>
      </c>
      <c r="G45" s="2">
        <v>0.68</v>
      </c>
      <c r="H45" s="2">
        <v>0.1</v>
      </c>
      <c r="I45" s="2">
        <f t="shared" si="4"/>
        <v>5.4260000000000002</v>
      </c>
      <c r="J45" s="2">
        <f t="shared" si="5"/>
        <v>18.448399999999999</v>
      </c>
      <c r="K45" s="2">
        <f t="shared" si="6"/>
        <v>73.793599999999998</v>
      </c>
      <c r="L45" s="2">
        <f t="shared" si="7"/>
        <v>10.852</v>
      </c>
    </row>
    <row r="46" spans="1:12" x14ac:dyDescent="0.2">
      <c r="A46" s="2" t="s">
        <v>67</v>
      </c>
      <c r="B46" s="2" t="s">
        <v>71</v>
      </c>
      <c r="C46" s="2" t="s">
        <v>63</v>
      </c>
      <c r="D46" s="4">
        <v>151</v>
      </c>
      <c r="E46" s="2">
        <v>0.05</v>
      </c>
      <c r="F46" s="2">
        <v>0.17</v>
      </c>
      <c r="G46" s="2">
        <v>0.68</v>
      </c>
      <c r="H46" s="2">
        <v>0.1</v>
      </c>
      <c r="I46" s="2">
        <f t="shared" si="4"/>
        <v>7.5500000000000007</v>
      </c>
      <c r="J46" s="2">
        <f t="shared" si="5"/>
        <v>25.67</v>
      </c>
      <c r="K46" s="2">
        <f t="shared" si="6"/>
        <v>102.68</v>
      </c>
      <c r="L46" s="2">
        <f t="shared" si="7"/>
        <v>15.100000000000001</v>
      </c>
    </row>
    <row r="47" spans="1:12" x14ac:dyDescent="0.2">
      <c r="A47" s="2" t="s">
        <v>59</v>
      </c>
      <c r="B47" s="2" t="s">
        <v>72</v>
      </c>
      <c r="C47" s="2" t="s">
        <v>73</v>
      </c>
      <c r="D47" s="2">
        <v>90</v>
      </c>
      <c r="E47" s="4">
        <v>0.23</v>
      </c>
      <c r="F47" s="4">
        <v>0.14000000000000001</v>
      </c>
      <c r="G47" s="4">
        <v>0.62</v>
      </c>
      <c r="H47" s="4">
        <v>0.01</v>
      </c>
      <c r="I47" s="2">
        <f t="shared" si="4"/>
        <v>20.7</v>
      </c>
      <c r="J47" s="2">
        <f t="shared" si="5"/>
        <v>12.600000000000001</v>
      </c>
      <c r="K47" s="2">
        <f t="shared" si="6"/>
        <v>55.8</v>
      </c>
      <c r="L47" s="2">
        <f t="shared" si="7"/>
        <v>0.9</v>
      </c>
    </row>
    <row r="48" spans="1:12" x14ac:dyDescent="0.2">
      <c r="A48" s="2" t="s">
        <v>59</v>
      </c>
      <c r="B48" s="2" t="s">
        <v>74</v>
      </c>
      <c r="C48" s="2" t="s">
        <v>73</v>
      </c>
      <c r="D48" s="2">
        <v>119.13</v>
      </c>
      <c r="E48" s="2">
        <v>0.23</v>
      </c>
      <c r="F48" s="2">
        <v>0.14000000000000001</v>
      </c>
      <c r="G48" s="2">
        <v>0.62</v>
      </c>
      <c r="H48" s="2">
        <v>0.01</v>
      </c>
      <c r="I48" s="2">
        <f t="shared" si="4"/>
        <v>27.399899999999999</v>
      </c>
      <c r="J48" s="2">
        <f t="shared" si="5"/>
        <v>16.6782</v>
      </c>
      <c r="K48" s="2">
        <f t="shared" si="6"/>
        <v>73.860599999999991</v>
      </c>
      <c r="L48" s="2">
        <f t="shared" si="7"/>
        <v>1.1913</v>
      </c>
    </row>
    <row r="49" spans="1:12" x14ac:dyDescent="0.2">
      <c r="A49" s="2" t="s">
        <v>59</v>
      </c>
      <c r="B49" s="2" t="s">
        <v>75</v>
      </c>
      <c r="C49" s="2" t="s">
        <v>73</v>
      </c>
      <c r="D49" s="2">
        <v>87.28</v>
      </c>
      <c r="E49" s="2">
        <v>0.23</v>
      </c>
      <c r="F49" s="2">
        <v>0.14000000000000001</v>
      </c>
      <c r="G49" s="2">
        <v>0.62</v>
      </c>
      <c r="H49" s="2">
        <v>0.01</v>
      </c>
      <c r="I49" s="2">
        <f t="shared" si="4"/>
        <v>20.074400000000001</v>
      </c>
      <c r="J49" s="2">
        <f t="shared" si="5"/>
        <v>12.219200000000001</v>
      </c>
      <c r="K49" s="2">
        <f t="shared" si="6"/>
        <v>54.113599999999998</v>
      </c>
      <c r="L49" s="2">
        <f t="shared" si="7"/>
        <v>0.87280000000000002</v>
      </c>
    </row>
    <row r="50" spans="1:12" x14ac:dyDescent="0.2">
      <c r="A50" s="2" t="s">
        <v>59</v>
      </c>
      <c r="B50" s="2" t="s">
        <v>76</v>
      </c>
      <c r="C50" s="2" t="s">
        <v>73</v>
      </c>
      <c r="D50" s="2">
        <v>126.2</v>
      </c>
      <c r="E50" s="2">
        <v>0.23</v>
      </c>
      <c r="F50" s="2">
        <v>0.14000000000000001</v>
      </c>
      <c r="G50" s="2">
        <v>0.62</v>
      </c>
      <c r="H50" s="2">
        <v>0.01</v>
      </c>
      <c r="I50" s="2">
        <f t="shared" si="4"/>
        <v>29.026000000000003</v>
      </c>
      <c r="J50" s="2">
        <f t="shared" si="5"/>
        <v>17.668000000000003</v>
      </c>
      <c r="K50" s="2">
        <f t="shared" si="6"/>
        <v>78.244</v>
      </c>
      <c r="L50" s="2">
        <f t="shared" si="7"/>
        <v>1.262</v>
      </c>
    </row>
    <row r="51" spans="1:12" x14ac:dyDescent="0.2">
      <c r="A51" s="2" t="s">
        <v>64</v>
      </c>
      <c r="B51" s="2" t="s">
        <v>77</v>
      </c>
      <c r="C51" s="2" t="s">
        <v>73</v>
      </c>
      <c r="D51" s="2">
        <v>103.76</v>
      </c>
      <c r="E51" s="4">
        <v>0.3</v>
      </c>
      <c r="F51" s="4">
        <v>0.14000000000000001</v>
      </c>
      <c r="G51" s="4">
        <v>0.47</v>
      </c>
      <c r="H51" s="4">
        <v>0.09</v>
      </c>
      <c r="I51" s="2">
        <f t="shared" si="4"/>
        <v>31.128</v>
      </c>
      <c r="J51" s="2">
        <f t="shared" si="5"/>
        <v>14.526400000000002</v>
      </c>
      <c r="K51" s="2">
        <f t="shared" si="6"/>
        <v>48.767200000000003</v>
      </c>
      <c r="L51" s="2">
        <f t="shared" si="7"/>
        <v>9.3384</v>
      </c>
    </row>
    <row r="52" spans="1:12" x14ac:dyDescent="0.2">
      <c r="A52" s="2" t="s">
        <v>64</v>
      </c>
      <c r="B52" s="2" t="s">
        <v>78</v>
      </c>
      <c r="C52" s="2" t="s">
        <v>73</v>
      </c>
      <c r="D52" s="2">
        <v>83.53</v>
      </c>
      <c r="E52" s="2">
        <v>0.3</v>
      </c>
      <c r="F52" s="2">
        <v>0.14000000000000001</v>
      </c>
      <c r="G52" s="2">
        <v>0.47</v>
      </c>
      <c r="H52" s="2">
        <v>0.09</v>
      </c>
      <c r="I52" s="2">
        <f t="shared" si="4"/>
        <v>25.059000000000001</v>
      </c>
      <c r="J52" s="2">
        <f t="shared" si="5"/>
        <v>11.694200000000002</v>
      </c>
      <c r="K52" s="2">
        <f t="shared" si="6"/>
        <v>39.259099999999997</v>
      </c>
      <c r="L52" s="2">
        <f t="shared" si="7"/>
        <v>7.5176999999999996</v>
      </c>
    </row>
    <row r="53" spans="1:12" x14ac:dyDescent="0.2">
      <c r="A53" s="2" t="s">
        <v>64</v>
      </c>
      <c r="B53" s="2" t="s">
        <v>79</v>
      </c>
      <c r="C53" s="2" t="s">
        <v>73</v>
      </c>
      <c r="D53" s="2">
        <v>100.23</v>
      </c>
      <c r="E53" s="2">
        <v>0.3</v>
      </c>
      <c r="F53" s="2">
        <v>0.14000000000000001</v>
      </c>
      <c r="G53" s="2">
        <v>0.47</v>
      </c>
      <c r="H53" s="2">
        <v>0.09</v>
      </c>
      <c r="I53" s="2">
        <f t="shared" si="4"/>
        <v>30.068999999999999</v>
      </c>
      <c r="J53" s="2">
        <f t="shared" si="5"/>
        <v>14.032200000000001</v>
      </c>
      <c r="K53" s="2">
        <f t="shared" si="6"/>
        <v>47.1081</v>
      </c>
      <c r="L53" s="2">
        <f t="shared" si="7"/>
        <v>9.0206999999999997</v>
      </c>
    </row>
    <row r="54" spans="1:12" x14ac:dyDescent="0.2">
      <c r="A54" s="2" t="s">
        <v>64</v>
      </c>
      <c r="B54" s="2" t="s">
        <v>80</v>
      </c>
      <c r="C54" s="2" t="s">
        <v>73</v>
      </c>
      <c r="D54" s="2">
        <v>81.400000000000006</v>
      </c>
      <c r="E54" s="2">
        <v>0.3</v>
      </c>
      <c r="F54" s="2">
        <v>0.14000000000000001</v>
      </c>
      <c r="G54" s="2">
        <v>0.47</v>
      </c>
      <c r="H54" s="2">
        <v>0.09</v>
      </c>
      <c r="I54" s="2">
        <f t="shared" si="4"/>
        <v>24.42</v>
      </c>
      <c r="J54" s="2">
        <f t="shared" si="5"/>
        <v>11.396000000000003</v>
      </c>
      <c r="K54" s="2">
        <f t="shared" si="6"/>
        <v>38.258000000000003</v>
      </c>
      <c r="L54" s="2">
        <f t="shared" si="7"/>
        <v>7.3260000000000005</v>
      </c>
    </row>
    <row r="55" spans="1:12" x14ac:dyDescent="0.2">
      <c r="A55" s="2" t="s">
        <v>67</v>
      </c>
      <c r="B55" s="2" t="s">
        <v>84</v>
      </c>
      <c r="C55" s="2" t="s">
        <v>73</v>
      </c>
      <c r="D55" s="2">
        <v>155.83000000000001</v>
      </c>
      <c r="E55" s="2">
        <v>0.24</v>
      </c>
      <c r="F55" s="2">
        <v>0.15</v>
      </c>
      <c r="G55" s="2">
        <v>0.54</v>
      </c>
      <c r="H55" s="2">
        <v>0.06</v>
      </c>
      <c r="I55" s="2">
        <f t="shared" si="4"/>
        <v>37.3992</v>
      </c>
      <c r="J55" s="2">
        <f t="shared" si="5"/>
        <v>23.374500000000001</v>
      </c>
      <c r="K55" s="2">
        <f t="shared" si="6"/>
        <v>84.148200000000017</v>
      </c>
      <c r="L55" s="2">
        <f t="shared" si="7"/>
        <v>9.3498000000000001</v>
      </c>
    </row>
    <row r="56" spans="1:12" x14ac:dyDescent="0.2">
      <c r="A56" s="2" t="s">
        <v>67</v>
      </c>
      <c r="B56" s="2" t="s">
        <v>81</v>
      </c>
      <c r="C56" s="2" t="s">
        <v>73</v>
      </c>
      <c r="D56" s="2">
        <v>93.2</v>
      </c>
      <c r="E56" s="4">
        <v>0.24</v>
      </c>
      <c r="F56" s="4">
        <v>0.15</v>
      </c>
      <c r="G56" s="4">
        <v>0.54</v>
      </c>
      <c r="H56" s="4">
        <v>0.06</v>
      </c>
      <c r="I56" s="2">
        <f t="shared" si="4"/>
        <v>22.367999999999999</v>
      </c>
      <c r="J56" s="2">
        <f t="shared" si="5"/>
        <v>13.98</v>
      </c>
      <c r="K56" s="2">
        <f t="shared" si="6"/>
        <v>50.328000000000003</v>
      </c>
      <c r="L56" s="2">
        <f t="shared" si="7"/>
        <v>5.5919999999999996</v>
      </c>
    </row>
    <row r="57" spans="1:12" x14ac:dyDescent="0.2">
      <c r="A57" s="2" t="s">
        <v>67</v>
      </c>
      <c r="B57" s="2" t="s">
        <v>82</v>
      </c>
      <c r="C57" s="2" t="s">
        <v>73</v>
      </c>
      <c r="D57" s="2">
        <v>151</v>
      </c>
      <c r="E57" s="2">
        <v>0.24</v>
      </c>
      <c r="F57" s="2">
        <v>0.15</v>
      </c>
      <c r="G57" s="2">
        <v>0.54</v>
      </c>
      <c r="H57" s="2">
        <v>0.06</v>
      </c>
      <c r="I57" s="2">
        <f t="shared" si="4"/>
        <v>36.24</v>
      </c>
      <c r="J57" s="2">
        <f t="shared" si="5"/>
        <v>22.65</v>
      </c>
      <c r="K57" s="2">
        <f t="shared" si="6"/>
        <v>81.540000000000006</v>
      </c>
      <c r="L57" s="2">
        <f t="shared" si="7"/>
        <v>9.06</v>
      </c>
    </row>
    <row r="58" spans="1:12" x14ac:dyDescent="0.2">
      <c r="A58" s="2" t="s">
        <v>67</v>
      </c>
      <c r="B58" s="2" t="s">
        <v>83</v>
      </c>
      <c r="C58" s="2" t="s">
        <v>73</v>
      </c>
      <c r="D58" s="2">
        <v>77.849999999999994</v>
      </c>
      <c r="E58" s="2">
        <v>0.24</v>
      </c>
      <c r="F58" s="2">
        <v>0.15</v>
      </c>
      <c r="G58" s="2">
        <v>0.54</v>
      </c>
      <c r="H58" s="2">
        <v>0.06</v>
      </c>
      <c r="I58" s="2">
        <f t="shared" si="4"/>
        <v>18.683999999999997</v>
      </c>
      <c r="J58" s="2">
        <f t="shared" si="5"/>
        <v>11.677499999999998</v>
      </c>
      <c r="K58" s="2">
        <f t="shared" si="6"/>
        <v>42.039000000000001</v>
      </c>
      <c r="L58" s="2">
        <f t="shared" si="7"/>
        <v>4.6709999999999994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Fenia Fotopoulou</dc:creator>
  <cp:lastModifiedBy>Foteini Fotopoulou</cp:lastModifiedBy>
  <dcterms:created xsi:type="dcterms:W3CDTF">2024-03-20T17:29:18Z</dcterms:created>
  <dcterms:modified xsi:type="dcterms:W3CDTF">2026-03-20T11:47:03Z</dcterms:modified>
</cp:coreProperties>
</file>